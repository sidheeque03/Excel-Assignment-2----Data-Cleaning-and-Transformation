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002b50d75c0501e/Desktop/"/>
    </mc:Choice>
  </mc:AlternateContent>
  <xr:revisionPtr revIDLastSave="45" documentId="8_{4DC2202D-BEDA-4767-BEE7-57F55AA6F131}" xr6:coauthVersionLast="47" xr6:coauthVersionMax="47" xr10:uidLastSave="{6333DFE0-927F-445A-9BAF-E54E04A19CE9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3" r:id="rId3"/>
  </sheets>
  <definedNames>
    <definedName name="_xlnm._FilterDatabase" localSheetId="2" hidden="1">Solution!$A$1:$K$32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2" i="3" l="1"/>
  <c r="E4" i="3"/>
  <c r="G4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E24" i="3"/>
  <c r="G24" i="3" s="1"/>
  <c r="E32" i="3"/>
  <c r="G32" i="3" s="1"/>
  <c r="E31" i="3"/>
  <c r="G31" i="3" s="1"/>
  <c r="E30" i="3"/>
  <c r="G30" i="3" s="1"/>
  <c r="E29" i="3"/>
  <c r="G29" i="3" s="1"/>
  <c r="E28" i="3"/>
  <c r="G28" i="3" s="1"/>
  <c r="E27" i="3"/>
  <c r="G27" i="3" s="1"/>
  <c r="E26" i="3"/>
  <c r="G26" i="3" s="1"/>
  <c r="E25" i="3"/>
  <c r="G25" i="3" s="1"/>
  <c r="E23" i="3"/>
  <c r="G23" i="3" s="1"/>
  <c r="E22" i="3"/>
  <c r="G22" i="3" s="1"/>
  <c r="E21" i="3"/>
  <c r="G21" i="3" s="1"/>
  <c r="E20" i="3"/>
  <c r="G20" i="3" s="1"/>
  <c r="E19" i="3"/>
  <c r="G19" i="3" s="1"/>
  <c r="E18" i="3"/>
  <c r="G18" i="3" s="1"/>
  <c r="E17" i="3"/>
  <c r="G17" i="3" s="1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3" i="3"/>
  <c r="G3" i="3" s="1"/>
  <c r="E2" i="3"/>
  <c r="G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</calcChain>
</file>

<file path=xl/sharedStrings.xml><?xml version="1.0" encoding="utf-8"?>
<sst xmlns="http://schemas.openxmlformats.org/spreadsheetml/2006/main" count="324" uniqueCount="122">
  <si>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</si>
  <si>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</si>
  <si>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</si>
  <si>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</si>
  <si>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</si>
  <si>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</si>
  <si>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</si>
  <si>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</si>
  <si>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</si>
  <si>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</si>
  <si>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</si>
  <si>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</si>
  <si>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</si>
  <si>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</si>
  <si>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</si>
  <si>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</si>
  <si>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</si>
  <si>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</si>
  <si>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</si>
  <si>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</si>
  <si>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</si>
  <si>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</si>
  <si>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</si>
  <si>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</si>
  <si>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</si>
  <si>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</si>
  <si>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</si>
  <si>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</si>
  <si>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</si>
  <si>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</si>
  <si>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</si>
  <si>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</si>
  <si>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</si>
  <si>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</si>
  <si>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</si>
  <si>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</si>
  <si>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</si>
  <si>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</si>
  <si>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</si>
  <si>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</si>
  <si>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</si>
  <si>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</si>
  <si>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</si>
  <si>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</si>
  <si>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</si>
  <si>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</si>
  <si>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</si>
  <si>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</si>
  <si>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</si>
  <si>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</si>
  <si>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</si>
  <si>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</si>
  <si>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</si>
  <si>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</si>
  <si>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</si>
  <si>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</si>
  <si>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</si>
  <si>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</si>
  <si>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</si>
  <si>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</si>
  <si>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</si>
  <si>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</si>
  <si>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</si>
  <si>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</si>
  <si>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</si>
  <si>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</si>
  <si>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</si>
  <si>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</si>
  <si>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</si>
  <si>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</si>
  <si>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</si>
  <si>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</si>
  <si>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</si>
  <si>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</si>
  <si>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</si>
  <si>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</si>
  <si>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</si>
  <si>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</si>
  <si>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</si>
  <si>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</si>
  <si>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</si>
  <si>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</si>
  <si>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</si>
  <si>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</si>
  <si>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</si>
  <si>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</si>
  <si>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</si>
  <si>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</si>
  <si>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</si>
  <si>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</si>
  <si>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</si>
  <si>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</si>
  <si>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</si>
  <si>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</si>
  <si>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</si>
  <si>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</si>
  <si>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</si>
  <si>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</si>
  <si>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</si>
  <si>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</si>
  <si>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</si>
  <si>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</si>
  <si>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</si>
  <si>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</si>
  <si>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</si>
  <si>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</si>
  <si>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</si>
  <si>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</si>
  <si>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</si>
  <si>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</si>
  <si>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</si>
  <si>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</si>
  <si>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</si>
  <si>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</si>
  <si>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</si>
  <si>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</si>
  <si>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Corrected Price</t>
  </si>
  <si>
    <t>Corrected Product name</t>
  </si>
  <si>
    <t>Manufacturing Date</t>
  </si>
  <si>
    <t>Country Code</t>
  </si>
  <si>
    <t>Product Brand</t>
  </si>
  <si>
    <t>Corrected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</si>
</sst>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2" borderId="0" xfId="0" applyFont="1" applyFill="1" applyAlignment="1">
      <alignment horizontal="center"/>
    </xf>
    <xf numFmtId="0" fontId="8" fillId="3" borderId="0" xfId="0" applyFont="1" applyFill="1"/>
    <xf numFmtId="164" fontId="9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0" fillId="0" borderId="0" xfId="0" applyNumberFormat="1"/>
    <xf numFmtId="14" fontId="7" fillId="2" borderId="0" xfId="0" applyNumberFormat="1" applyFont="1" applyFill="1" applyAlignment="1">
      <alignment horizontal="center"/>
    </xf>
    <xf numFmtId="14" fontId="5" fillId="0" borderId="0" xfId="0" applyNumberFormat="1" applyFont="1"/>
    <xf numFmtId="14" fontId="0" fillId="0" borderId="0" xfId="0" applyNumberFormat="1"/>
    <xf numFmtId="0" fontId="10" fillId="0" borderId="0" xfId="0" applyFont="1"/>
    <xf numFmtId="0" fontId="8" fillId="0" borderId="0" xfId="0" applyFont="1"/>
  </cellXfs>
  <cellStyles count="1">
    <cellStyle name="Normal" xfId="0" builtinId="0"/>
  </cellStyles>
  <dxfs count="6">
    <dxf>
      <font>
        <b/>
        <i/>
        <color theme="4" tint="-0.499984740745262"/>
      </font>
    </dxf>
    <dxf>
      <font>
        <b/>
        <i val="0"/>
        <color rgb="FF7030A0"/>
      </font>
    </dxf>
    <dxf>
      <font>
        <b/>
        <i val="0"/>
        <color theme="4" tint="-0.499984740745262"/>
      </font>
    </dxf>
    <dxf>
      <font>
        <b/>
        <i val="0"/>
        <color theme="5" tint="-0.499984740745262"/>
      </font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4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98" workbookViewId="0">
      <selection activeCell="C10" sqref="C1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17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I9" sqref="I9"/>
    </sheetView>
  </sheetViews>
  <sheetFormatPr defaultColWidth="12.6640625" defaultRowHeight="15" customHeight="1" x14ac:dyDescent="0.25"/>
  <cols>
    <col min="1" max="1" width="12.6640625" customWidth="1"/>
    <col min="2" max="2" width="13.6640625" bestFit="1" customWidth="1"/>
    <col min="3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8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4F5A-9A48-45F3-BBEB-7D049F4797EE}">
  <dimension ref="A1:L32"/>
  <sheetViews>
    <sheetView tabSelected="1" zoomScale="86" workbookViewId="0">
      <selection activeCell="E19" sqref="E19"/>
    </sheetView>
  </sheetViews>
  <sheetFormatPr defaultRowHeight="13.2" x14ac:dyDescent="0.25"/>
  <cols>
    <col min="1" max="1" width="10.77734375" bestFit="1" customWidth="1"/>
    <col min="2" max="2" width="18.21875" style="16" bestFit="1" customWidth="1"/>
    <col min="3" max="3" width="13.33203125" bestFit="1" customWidth="1"/>
    <col min="4" max="4" width="18" bestFit="1" customWidth="1"/>
    <col min="5" max="5" width="27.33203125" bestFit="1" customWidth="1"/>
    <col min="6" max="6" width="16.21875" bestFit="1" customWidth="1"/>
    <col min="7" max="7" width="21.44140625" bestFit="1" customWidth="1"/>
    <col min="8" max="8" width="19.33203125" style="13" bestFit="1" customWidth="1"/>
    <col min="9" max="9" width="12.77734375" bestFit="1" customWidth="1"/>
    <col min="10" max="10" width="12.88671875" bestFit="1" customWidth="1"/>
    <col min="11" max="11" width="13.44140625" bestFit="1" customWidth="1"/>
    <col min="12" max="12" width="19" bestFit="1" customWidth="1"/>
  </cols>
  <sheetData>
    <row r="1" spans="1:12" x14ac:dyDescent="0.25">
      <c r="A1" s="7" t="s">
        <v>19</v>
      </c>
      <c r="B1" s="14" t="s">
        <v>118</v>
      </c>
      <c r="C1" s="7" t="s">
        <v>119</v>
      </c>
      <c r="D1" s="7" t="s">
        <v>20</v>
      </c>
      <c r="E1" s="9" t="s">
        <v>117</v>
      </c>
      <c r="F1" s="7" t="s">
        <v>21</v>
      </c>
      <c r="G1" s="7" t="s">
        <v>120</v>
      </c>
      <c r="H1" s="11" t="s">
        <v>116</v>
      </c>
      <c r="I1" s="7" t="s">
        <v>22</v>
      </c>
      <c r="J1" s="7" t="s">
        <v>23</v>
      </c>
      <c r="K1" s="9" t="s">
        <v>24</v>
      </c>
      <c r="L1" s="9" t="s">
        <v>121</v>
      </c>
    </row>
    <row r="2" spans="1:12" x14ac:dyDescent="0.25">
      <c r="A2" s="5" t="s">
        <v>25</v>
      </c>
      <c r="B2" s="15" t="str">
        <f>LEFT(A2,6)&amp;"-2025"</f>
        <v>28-JAN-2025</v>
      </c>
      <c r="C2" s="5" t="str">
        <f t="shared" ref="C2:C32" si="0">RIGHT(A2,2)</f>
        <v>US</v>
      </c>
      <c r="D2" s="5" t="s">
        <v>26</v>
      </c>
      <c r="E2" s="5" t="str">
        <f t="shared" ref="E2:E32" si="1">PROPER(D2)</f>
        <v>Laptop</v>
      </c>
      <c r="F2" s="5" t="s">
        <v>27</v>
      </c>
      <c r="G2" s="5" t="str">
        <f>F2&amp;" "&amp;E2</f>
        <v>Dell Laptop</v>
      </c>
      <c r="H2" s="12">
        <f t="shared" ref="H2:H32" si="2">IF(ISBLANK(I2),MEDIAN(I2:I35),I2)</f>
        <v>1000</v>
      </c>
      <c r="I2" s="5">
        <v>1000</v>
      </c>
      <c r="J2" s="5">
        <v>30</v>
      </c>
      <c r="K2" s="18" t="s">
        <v>28</v>
      </c>
      <c r="L2" s="18" t="s">
        <v>28</v>
      </c>
    </row>
    <row r="3" spans="1:12" x14ac:dyDescent="0.25">
      <c r="A3" s="8" t="s">
        <v>29</v>
      </c>
      <c r="B3" s="15" t="str">
        <f t="shared" ref="B3:B32" si="3">LEFT(A3,6)&amp;"-2025"</f>
        <v>15-FEB-2025</v>
      </c>
      <c r="C3" s="5" t="str">
        <f t="shared" si="0"/>
        <v>US</v>
      </c>
      <c r="D3" s="8" t="s">
        <v>30</v>
      </c>
      <c r="E3" s="5" t="str">
        <f t="shared" si="1"/>
        <v>Sneakers</v>
      </c>
      <c r="F3" s="8" t="s">
        <v>31</v>
      </c>
      <c r="G3" s="5" t="str">
        <f t="shared" ref="G3:G32" si="4">F3&amp;" "&amp;E3</f>
        <v>Nike Sneakers</v>
      </c>
      <c r="H3" s="12">
        <f t="shared" si="2"/>
        <v>80</v>
      </c>
      <c r="I3" s="8">
        <v>80</v>
      </c>
      <c r="J3" s="8">
        <v>15</v>
      </c>
      <c r="K3" s="8" t="s">
        <v>32</v>
      </c>
      <c r="L3" s="18" t="s">
        <v>32</v>
      </c>
    </row>
    <row r="4" spans="1:12" x14ac:dyDescent="0.25">
      <c r="A4" s="5" t="s">
        <v>33</v>
      </c>
      <c r="B4" s="15" t="str">
        <f t="shared" si="3"/>
        <v>03-MAR-2025</v>
      </c>
      <c r="C4" s="5" t="str">
        <f t="shared" si="0"/>
        <v>US</v>
      </c>
      <c r="D4" s="5" t="s">
        <v>34</v>
      </c>
      <c r="E4" s="5" t="str">
        <f t="shared" si="1"/>
        <v>Coffee Maker</v>
      </c>
      <c r="F4" s="5" t="s">
        <v>35</v>
      </c>
      <c r="G4" s="5" t="str">
        <f t="shared" si="4"/>
        <v>Keurig Coffee Maker</v>
      </c>
      <c r="H4" s="12">
        <f t="shared" si="2"/>
        <v>130</v>
      </c>
      <c r="I4" s="5">
        <v>130</v>
      </c>
      <c r="J4" s="5">
        <v>40</v>
      </c>
      <c r="K4" s="5" t="s">
        <v>36</v>
      </c>
      <c r="L4" s="18" t="s">
        <v>36</v>
      </c>
    </row>
    <row r="5" spans="1:12" x14ac:dyDescent="0.25">
      <c r="A5" s="8" t="s">
        <v>37</v>
      </c>
      <c r="B5" s="15" t="str">
        <f t="shared" si="3"/>
        <v>11-APR-2025</v>
      </c>
      <c r="C5" s="5" t="str">
        <f t="shared" si="0"/>
        <v>US</v>
      </c>
      <c r="D5" s="8" t="s">
        <v>38</v>
      </c>
      <c r="E5" s="5" t="str">
        <f t="shared" si="1"/>
        <v>Smartphone</v>
      </c>
      <c r="F5" s="8" t="s">
        <v>39</v>
      </c>
      <c r="G5" s="5" t="str">
        <f t="shared" si="4"/>
        <v>Samsung Smartphone</v>
      </c>
      <c r="H5" s="12">
        <f t="shared" si="2"/>
        <v>900</v>
      </c>
      <c r="I5" s="8">
        <v>900</v>
      </c>
      <c r="J5" s="8">
        <v>25</v>
      </c>
      <c r="K5" s="8" t="s">
        <v>28</v>
      </c>
      <c r="L5" s="18" t="s">
        <v>28</v>
      </c>
    </row>
    <row r="6" spans="1:12" x14ac:dyDescent="0.25">
      <c r="A6" s="5" t="s">
        <v>40</v>
      </c>
      <c r="B6" s="15" t="str">
        <f t="shared" si="3"/>
        <v>22-MAY-2025</v>
      </c>
      <c r="C6" s="5" t="str">
        <f t="shared" si="0"/>
        <v>US</v>
      </c>
      <c r="D6" s="5" t="s">
        <v>41</v>
      </c>
      <c r="E6" s="5" t="str">
        <f t="shared" si="1"/>
        <v>Backpack</v>
      </c>
      <c r="F6" s="5" t="s">
        <v>42</v>
      </c>
      <c r="G6" s="5" t="str">
        <f t="shared" si="4"/>
        <v>North Face Backpack</v>
      </c>
      <c r="H6" s="12">
        <f t="shared" si="2"/>
        <v>70</v>
      </c>
      <c r="I6" s="5">
        <v>70</v>
      </c>
      <c r="J6" s="5">
        <v>20</v>
      </c>
      <c r="K6" s="8" t="s">
        <v>75</v>
      </c>
      <c r="L6" s="18" t="s">
        <v>75</v>
      </c>
    </row>
    <row r="7" spans="1:12" x14ac:dyDescent="0.25">
      <c r="A7" s="8" t="s">
        <v>43</v>
      </c>
      <c r="B7" s="15" t="str">
        <f t="shared" si="3"/>
        <v>07-JUN-2025</v>
      </c>
      <c r="C7" s="5" t="str">
        <f t="shared" si="0"/>
        <v>UK</v>
      </c>
      <c r="D7" s="8" t="s">
        <v>44</v>
      </c>
      <c r="E7" s="5" t="str">
        <f t="shared" si="1"/>
        <v>Headphones</v>
      </c>
      <c r="F7" s="8" t="s">
        <v>45</v>
      </c>
      <c r="G7" s="5" t="str">
        <f t="shared" si="4"/>
        <v>Sony Headphones</v>
      </c>
      <c r="H7" s="12">
        <f t="shared" si="2"/>
        <v>130</v>
      </c>
      <c r="I7" s="8"/>
      <c r="J7" s="8">
        <v>45</v>
      </c>
      <c r="K7" s="8" t="s">
        <v>28</v>
      </c>
      <c r="L7" s="18" t="s">
        <v>28</v>
      </c>
    </row>
    <row r="8" spans="1:12" x14ac:dyDescent="0.25">
      <c r="A8" s="5" t="s">
        <v>47</v>
      </c>
      <c r="B8" s="15" t="str">
        <f t="shared" si="3"/>
        <v>19-JUL-2025</v>
      </c>
      <c r="C8" s="5" t="str">
        <f t="shared" si="0"/>
        <v>UK</v>
      </c>
      <c r="D8" s="5" t="s">
        <v>48</v>
      </c>
      <c r="E8" s="5" t="str">
        <f t="shared" si="1"/>
        <v>T-Shirt</v>
      </c>
      <c r="F8" s="5" t="s">
        <v>49</v>
      </c>
      <c r="G8" s="5" t="str">
        <f t="shared" si="4"/>
        <v>Adidas T-Shirt</v>
      </c>
      <c r="H8" s="12">
        <f t="shared" si="2"/>
        <v>30</v>
      </c>
      <c r="I8" s="5">
        <v>30</v>
      </c>
      <c r="J8" s="5">
        <v>5</v>
      </c>
      <c r="K8" s="5" t="s">
        <v>32</v>
      </c>
      <c r="L8" s="18" t="s">
        <v>32</v>
      </c>
    </row>
    <row r="9" spans="1:12" x14ac:dyDescent="0.25">
      <c r="A9" s="8" t="s">
        <v>50</v>
      </c>
      <c r="B9" s="15" t="str">
        <f t="shared" si="3"/>
        <v>23-AUG-2025</v>
      </c>
      <c r="C9" s="5" t="str">
        <f t="shared" si="0"/>
        <v>UK</v>
      </c>
      <c r="D9" s="8" t="s">
        <v>51</v>
      </c>
      <c r="E9" s="5" t="str">
        <f t="shared" si="1"/>
        <v>Blender</v>
      </c>
      <c r="F9" s="8" t="s">
        <v>52</v>
      </c>
      <c r="G9" s="5" t="str">
        <f t="shared" si="4"/>
        <v>Ninja Blender</v>
      </c>
      <c r="H9" s="12">
        <f t="shared" si="2"/>
        <v>90</v>
      </c>
      <c r="I9" s="8">
        <v>90</v>
      </c>
      <c r="J9" s="8">
        <v>35</v>
      </c>
      <c r="K9" s="8" t="s">
        <v>36</v>
      </c>
      <c r="L9" s="18" t="s">
        <v>36</v>
      </c>
    </row>
    <row r="10" spans="1:12" x14ac:dyDescent="0.25">
      <c r="A10" s="5" t="s">
        <v>53</v>
      </c>
      <c r="B10" s="15" t="str">
        <f t="shared" si="3"/>
        <v>05-SEP-2025</v>
      </c>
      <c r="C10" s="5" t="str">
        <f t="shared" si="0"/>
        <v>UK</v>
      </c>
      <c r="D10" s="5" t="s">
        <v>54</v>
      </c>
      <c r="E10" s="5" t="str">
        <f t="shared" si="1"/>
        <v>Tablet</v>
      </c>
      <c r="F10" s="5" t="s">
        <v>55</v>
      </c>
      <c r="G10" s="5" t="str">
        <f t="shared" si="4"/>
        <v>Apple Tablet</v>
      </c>
      <c r="H10" s="12">
        <f t="shared" si="2"/>
        <v>500</v>
      </c>
      <c r="I10" s="5">
        <v>500</v>
      </c>
      <c r="J10" s="5">
        <v>50</v>
      </c>
      <c r="K10" s="5" t="s">
        <v>28</v>
      </c>
      <c r="L10" s="18" t="s">
        <v>28</v>
      </c>
    </row>
    <row r="11" spans="1:12" x14ac:dyDescent="0.25">
      <c r="A11" s="8" t="s">
        <v>56</v>
      </c>
      <c r="B11" s="15" t="str">
        <f t="shared" si="3"/>
        <v>14-OCT-2025</v>
      </c>
      <c r="C11" s="5" t="str">
        <f t="shared" si="0"/>
        <v>UK</v>
      </c>
      <c r="D11" s="8" t="s">
        <v>57</v>
      </c>
      <c r="E11" s="5" t="str">
        <f t="shared" si="1"/>
        <v>Hiking Boots</v>
      </c>
      <c r="F11" s="8" t="s">
        <v>58</v>
      </c>
      <c r="G11" s="5" t="str">
        <f t="shared" si="4"/>
        <v>Timberland Hiking Boots</v>
      </c>
      <c r="H11" s="12">
        <f t="shared" si="2"/>
        <v>130</v>
      </c>
      <c r="I11" s="8">
        <v>130</v>
      </c>
      <c r="J11" s="8">
        <v>10</v>
      </c>
      <c r="K11" s="8" t="s">
        <v>59</v>
      </c>
      <c r="L11" s="18" t="s">
        <v>59</v>
      </c>
    </row>
    <row r="12" spans="1:12" x14ac:dyDescent="0.25">
      <c r="A12" s="5" t="s">
        <v>60</v>
      </c>
      <c r="B12" s="15" t="str">
        <f t="shared" si="3"/>
        <v>17-JUN-2025</v>
      </c>
      <c r="C12" s="5" t="str">
        <f t="shared" si="0"/>
        <v>IN</v>
      </c>
      <c r="D12" s="5" t="s">
        <v>61</v>
      </c>
      <c r="E12" s="5" t="str">
        <f t="shared" si="1"/>
        <v>Laptop</v>
      </c>
      <c r="F12" s="5" t="s">
        <v>62</v>
      </c>
      <c r="G12" s="5" t="str">
        <f t="shared" si="4"/>
        <v>HP Laptop</v>
      </c>
      <c r="H12" s="12">
        <f t="shared" si="2"/>
        <v>950</v>
      </c>
      <c r="I12" s="5">
        <v>950</v>
      </c>
      <c r="J12" s="5">
        <v>25</v>
      </c>
      <c r="K12" s="5" t="s">
        <v>28</v>
      </c>
      <c r="L12" s="18" t="s">
        <v>28</v>
      </c>
    </row>
    <row r="13" spans="1:12" x14ac:dyDescent="0.25">
      <c r="A13" s="8" t="s">
        <v>63</v>
      </c>
      <c r="B13" s="15" t="str">
        <f t="shared" si="3"/>
        <v>25-NOV-2025</v>
      </c>
      <c r="C13" s="5" t="str">
        <f t="shared" si="0"/>
        <v>AU</v>
      </c>
      <c r="D13" s="8" t="s">
        <v>30</v>
      </c>
      <c r="E13" s="5" t="str">
        <f t="shared" si="1"/>
        <v>Sneakers</v>
      </c>
      <c r="F13" s="8" t="s">
        <v>49</v>
      </c>
      <c r="G13" s="5" t="str">
        <f t="shared" si="4"/>
        <v>Adidas Sneakers</v>
      </c>
      <c r="H13" s="12">
        <f t="shared" si="2"/>
        <v>90</v>
      </c>
      <c r="I13" s="8">
        <v>90</v>
      </c>
      <c r="J13" s="8">
        <v>40</v>
      </c>
      <c r="K13" s="8" t="s">
        <v>32</v>
      </c>
      <c r="L13" s="18" t="s">
        <v>32</v>
      </c>
    </row>
    <row r="14" spans="1:12" x14ac:dyDescent="0.25">
      <c r="A14" s="5" t="s">
        <v>64</v>
      </c>
      <c r="B14" s="15" t="str">
        <f t="shared" si="3"/>
        <v>08-DEC-2025</v>
      </c>
      <c r="C14" s="5" t="str">
        <f t="shared" si="0"/>
        <v>DE</v>
      </c>
      <c r="D14" s="5" t="s">
        <v>34</v>
      </c>
      <c r="E14" s="5" t="str">
        <f t="shared" si="1"/>
        <v>Coffee Maker</v>
      </c>
      <c r="F14" s="5" t="s">
        <v>65</v>
      </c>
      <c r="G14" s="5" t="str">
        <f t="shared" si="4"/>
        <v>Nespresso Coffee Maker</v>
      </c>
      <c r="H14" s="12">
        <f t="shared" si="2"/>
        <v>120</v>
      </c>
      <c r="I14" s="5">
        <v>120</v>
      </c>
      <c r="J14" s="5">
        <v>35</v>
      </c>
      <c r="K14" s="5" t="s">
        <v>36</v>
      </c>
      <c r="L14" s="18" t="s">
        <v>36</v>
      </c>
    </row>
    <row r="15" spans="1:12" x14ac:dyDescent="0.25">
      <c r="A15" s="8" t="s">
        <v>66</v>
      </c>
      <c r="B15" s="15" t="str">
        <f t="shared" si="3"/>
        <v>18-FEB-2025</v>
      </c>
      <c r="C15" s="5" t="str">
        <f t="shared" si="0"/>
        <v>CA</v>
      </c>
      <c r="D15" s="8" t="s">
        <v>67</v>
      </c>
      <c r="E15" s="5" t="str">
        <f t="shared" si="1"/>
        <v>Smartwatch</v>
      </c>
      <c r="F15" s="8" t="s">
        <v>68</v>
      </c>
      <c r="G15" s="5" t="str">
        <f t="shared" si="4"/>
        <v>Fitbit Smartwatch</v>
      </c>
      <c r="H15" s="12">
        <f t="shared" si="2"/>
        <v>150</v>
      </c>
      <c r="I15" s="8">
        <v>150</v>
      </c>
      <c r="J15" s="8">
        <v>15</v>
      </c>
      <c r="K15" s="8" t="s">
        <v>28</v>
      </c>
      <c r="L15" s="18" t="s">
        <v>28</v>
      </c>
    </row>
    <row r="16" spans="1:12" x14ac:dyDescent="0.25">
      <c r="A16" s="5" t="s">
        <v>69</v>
      </c>
      <c r="B16" s="15" t="str">
        <f t="shared" si="3"/>
        <v>16-APR-2025</v>
      </c>
      <c r="C16" s="5" t="str">
        <f t="shared" si="0"/>
        <v>ES</v>
      </c>
      <c r="D16" s="5" t="s">
        <v>70</v>
      </c>
      <c r="E16" s="5" t="str">
        <f t="shared" si="1"/>
        <v>Headphones</v>
      </c>
      <c r="F16" s="5" t="s">
        <v>71</v>
      </c>
      <c r="G16" s="5" t="str">
        <f t="shared" si="4"/>
        <v>Bose Headphones</v>
      </c>
      <c r="H16" s="12">
        <f t="shared" si="2"/>
        <v>250</v>
      </c>
      <c r="I16" s="5">
        <v>250</v>
      </c>
      <c r="J16" s="5">
        <v>20</v>
      </c>
      <c r="K16" s="5" t="s">
        <v>28</v>
      </c>
      <c r="L16" s="18" t="s">
        <v>28</v>
      </c>
    </row>
    <row r="17" spans="1:12" x14ac:dyDescent="0.25">
      <c r="A17" s="8" t="s">
        <v>72</v>
      </c>
      <c r="B17" s="15" t="str">
        <f t="shared" si="3"/>
        <v>21-AUG-2025</v>
      </c>
      <c r="C17" s="5" t="str">
        <f t="shared" si="0"/>
        <v>CA</v>
      </c>
      <c r="D17" s="8" t="s">
        <v>73</v>
      </c>
      <c r="E17" s="5" t="str">
        <f t="shared" si="1"/>
        <v>Laptop Bag</v>
      </c>
      <c r="F17" s="8" t="s">
        <v>74</v>
      </c>
      <c r="G17" s="5" t="str">
        <f t="shared" si="4"/>
        <v>Samsonite Laptop Bag</v>
      </c>
      <c r="H17" s="12">
        <f t="shared" si="2"/>
        <v>50</v>
      </c>
      <c r="I17" s="8">
        <v>50</v>
      </c>
      <c r="J17" s="8">
        <v>35</v>
      </c>
      <c r="K17" s="8" t="s">
        <v>75</v>
      </c>
      <c r="L17" s="18" t="s">
        <v>75</v>
      </c>
    </row>
    <row r="18" spans="1:12" x14ac:dyDescent="0.25">
      <c r="A18" s="5" t="s">
        <v>76</v>
      </c>
      <c r="B18" s="15" t="str">
        <f t="shared" si="3"/>
        <v>20-AUG-2025</v>
      </c>
      <c r="C18" s="5" t="str">
        <f t="shared" si="0"/>
        <v>CN</v>
      </c>
      <c r="D18" s="5" t="s">
        <v>67</v>
      </c>
      <c r="E18" s="5" t="str">
        <f t="shared" si="1"/>
        <v>Smartwatch</v>
      </c>
      <c r="F18" s="5" t="s">
        <v>77</v>
      </c>
      <c r="G18" s="5" t="str">
        <f t="shared" si="4"/>
        <v>Huawei Smartwatch</v>
      </c>
      <c r="H18" s="12">
        <f t="shared" si="2"/>
        <v>160</v>
      </c>
      <c r="I18" s="5">
        <v>160</v>
      </c>
      <c r="J18" s="5">
        <v>15</v>
      </c>
      <c r="K18" s="5" t="s">
        <v>28</v>
      </c>
      <c r="L18" s="18" t="s">
        <v>28</v>
      </c>
    </row>
    <row r="19" spans="1:12" x14ac:dyDescent="0.25">
      <c r="A19" s="8" t="s">
        <v>78</v>
      </c>
      <c r="B19" s="15" t="str">
        <f t="shared" si="3"/>
        <v>27-JAN-2025</v>
      </c>
      <c r="C19" s="5" t="str">
        <f t="shared" si="0"/>
        <v>IT</v>
      </c>
      <c r="D19" s="8" t="s">
        <v>26</v>
      </c>
      <c r="E19" s="5" t="str">
        <f t="shared" si="1"/>
        <v>Laptop</v>
      </c>
      <c r="F19" s="8" t="s">
        <v>79</v>
      </c>
      <c r="G19" s="5" t="str">
        <f t="shared" si="4"/>
        <v>Asus Laptop</v>
      </c>
      <c r="H19" s="12">
        <f t="shared" si="2"/>
        <v>980</v>
      </c>
      <c r="I19" s="8">
        <v>980</v>
      </c>
      <c r="J19" s="8">
        <v>10</v>
      </c>
      <c r="K19" s="8" t="s">
        <v>28</v>
      </c>
      <c r="L19" s="18" t="s">
        <v>28</v>
      </c>
    </row>
    <row r="20" spans="1:12" x14ac:dyDescent="0.25">
      <c r="A20" s="5" t="s">
        <v>80</v>
      </c>
      <c r="B20" s="15" t="str">
        <f t="shared" si="3"/>
        <v>01-MAR-2025</v>
      </c>
      <c r="C20" s="5" t="str">
        <f t="shared" si="0"/>
        <v>UK</v>
      </c>
      <c r="D20" s="8" t="s">
        <v>81</v>
      </c>
      <c r="E20" s="5" t="str">
        <f t="shared" si="1"/>
        <v>Sunglasses</v>
      </c>
      <c r="F20" s="5" t="s">
        <v>82</v>
      </c>
      <c r="G20" s="5" t="str">
        <f t="shared" si="4"/>
        <v>Oakley Sunglasses</v>
      </c>
      <c r="H20" s="12">
        <f t="shared" si="2"/>
        <v>150</v>
      </c>
      <c r="I20" s="5">
        <v>150</v>
      </c>
      <c r="J20" s="5">
        <v>15</v>
      </c>
      <c r="K20" s="5" t="s">
        <v>32</v>
      </c>
      <c r="L20" s="18" t="s">
        <v>32</v>
      </c>
    </row>
    <row r="21" spans="1:12" x14ac:dyDescent="0.25">
      <c r="A21" s="8" t="s">
        <v>83</v>
      </c>
      <c r="B21" s="15" t="str">
        <f t="shared" si="3"/>
        <v>14-AUG-2025</v>
      </c>
      <c r="C21" s="5" t="str">
        <f t="shared" si="0"/>
        <v>US</v>
      </c>
      <c r="D21" s="8" t="s">
        <v>84</v>
      </c>
      <c r="E21" s="5" t="str">
        <f t="shared" si="1"/>
        <v>Camping Tent</v>
      </c>
      <c r="F21" s="8" t="s">
        <v>85</v>
      </c>
      <c r="G21" s="5" t="str">
        <f t="shared" si="4"/>
        <v>Coleman Camping Tent</v>
      </c>
      <c r="H21" s="12">
        <f t="shared" si="2"/>
        <v>115</v>
      </c>
      <c r="I21" s="8"/>
      <c r="J21" s="8">
        <v>10</v>
      </c>
      <c r="K21" s="10" t="s">
        <v>59</v>
      </c>
      <c r="L21" s="18" t="s">
        <v>59</v>
      </c>
    </row>
    <row r="22" spans="1:12" x14ac:dyDescent="0.25">
      <c r="A22" s="5" t="s">
        <v>86</v>
      </c>
      <c r="B22" s="15" t="str">
        <f t="shared" si="3"/>
        <v>14-MAY-2025</v>
      </c>
      <c r="C22" s="5" t="str">
        <f t="shared" si="0"/>
        <v>RU</v>
      </c>
      <c r="D22" s="5" t="s">
        <v>87</v>
      </c>
      <c r="E22" s="5" t="str">
        <f t="shared" si="1"/>
        <v>Camera</v>
      </c>
      <c r="F22" s="5" t="s">
        <v>88</v>
      </c>
      <c r="G22" s="5" t="str">
        <f t="shared" si="4"/>
        <v>Nikon Camera</v>
      </c>
      <c r="H22" s="12">
        <f t="shared" si="2"/>
        <v>700</v>
      </c>
      <c r="I22" s="5">
        <v>700</v>
      </c>
      <c r="J22" s="5">
        <v>50</v>
      </c>
      <c r="K22" s="5" t="s">
        <v>28</v>
      </c>
      <c r="L22" s="18" t="s">
        <v>28</v>
      </c>
    </row>
    <row r="23" spans="1:12" x14ac:dyDescent="0.25">
      <c r="A23" s="8" t="s">
        <v>89</v>
      </c>
      <c r="B23" s="15" t="str">
        <f t="shared" si="3"/>
        <v>09-JAN-2025</v>
      </c>
      <c r="C23" s="5" t="str">
        <f t="shared" si="0"/>
        <v>CA</v>
      </c>
      <c r="D23" s="8" t="s">
        <v>90</v>
      </c>
      <c r="E23" s="5" t="str">
        <f t="shared" si="1"/>
        <v>Microwave</v>
      </c>
      <c r="F23" s="8" t="s">
        <v>91</v>
      </c>
      <c r="G23" s="5" t="str">
        <f t="shared" si="4"/>
        <v>Panasonic Microwave</v>
      </c>
      <c r="H23" s="12">
        <f t="shared" si="2"/>
        <v>80</v>
      </c>
      <c r="I23" s="8">
        <v>80</v>
      </c>
      <c r="J23" s="8">
        <v>20</v>
      </c>
      <c r="K23" s="8" t="s">
        <v>36</v>
      </c>
      <c r="L23" s="18" t="s">
        <v>36</v>
      </c>
    </row>
    <row r="24" spans="1:12" x14ac:dyDescent="0.25">
      <c r="A24" s="5" t="s">
        <v>92</v>
      </c>
      <c r="B24" s="15" t="str">
        <f t="shared" si="3"/>
        <v>19-JUL-2025</v>
      </c>
      <c r="C24" s="5" t="str">
        <f t="shared" si="0"/>
        <v>BR</v>
      </c>
      <c r="D24" s="5" t="s">
        <v>93</v>
      </c>
      <c r="E24" s="5" t="str">
        <f t="shared" si="1"/>
        <v>Fitness Tracker</v>
      </c>
      <c r="F24" s="5" t="s">
        <v>94</v>
      </c>
      <c r="G24" s="5" t="str">
        <f t="shared" si="4"/>
        <v>Xiaomi Fitness Tracker</v>
      </c>
      <c r="H24" s="12">
        <f t="shared" si="2"/>
        <v>150</v>
      </c>
      <c r="I24" s="5">
        <v>150</v>
      </c>
      <c r="J24" s="5">
        <v>30</v>
      </c>
      <c r="K24" s="5" t="s">
        <v>28</v>
      </c>
      <c r="L24" s="18" t="s">
        <v>28</v>
      </c>
    </row>
    <row r="25" spans="1:12" x14ac:dyDescent="0.25">
      <c r="A25" s="5" t="s">
        <v>95</v>
      </c>
      <c r="B25" s="15" t="str">
        <f t="shared" si="3"/>
        <v>29-SEP-2025</v>
      </c>
      <c r="C25" s="5" t="str">
        <f t="shared" si="0"/>
        <v>CA</v>
      </c>
      <c r="D25" s="5" t="s">
        <v>96</v>
      </c>
      <c r="E25" s="5" t="str">
        <f t="shared" si="1"/>
        <v>Smartphone</v>
      </c>
      <c r="F25" s="5" t="s">
        <v>97</v>
      </c>
      <c r="G25" s="5" t="str">
        <f t="shared" si="4"/>
        <v>Google Smartphone</v>
      </c>
      <c r="H25" s="12">
        <f t="shared" si="2"/>
        <v>800</v>
      </c>
      <c r="I25" s="5">
        <v>800</v>
      </c>
      <c r="J25" s="5">
        <v>45</v>
      </c>
      <c r="K25" s="5" t="s">
        <v>28</v>
      </c>
      <c r="L25" s="18" t="s">
        <v>28</v>
      </c>
    </row>
    <row r="26" spans="1:12" x14ac:dyDescent="0.25">
      <c r="A26" s="8" t="s">
        <v>98</v>
      </c>
      <c r="B26" s="15" t="str">
        <f t="shared" si="3"/>
        <v>03-JUN-2025</v>
      </c>
      <c r="C26" s="5" t="str">
        <f t="shared" si="0"/>
        <v>CA</v>
      </c>
      <c r="D26" s="8" t="s">
        <v>81</v>
      </c>
      <c r="E26" s="5" t="str">
        <f t="shared" si="1"/>
        <v>Sunglasses</v>
      </c>
      <c r="F26" s="8" t="s">
        <v>99</v>
      </c>
      <c r="G26" s="5" t="str">
        <f t="shared" si="4"/>
        <v>Ray-Ban Sunglasses</v>
      </c>
      <c r="H26" s="12">
        <f t="shared" si="2"/>
        <v>80</v>
      </c>
      <c r="I26" s="8"/>
      <c r="J26" s="8">
        <v>25</v>
      </c>
      <c r="K26" s="8" t="s">
        <v>32</v>
      </c>
      <c r="L26" s="18" t="s">
        <v>32</v>
      </c>
    </row>
    <row r="27" spans="1:12" x14ac:dyDescent="0.25">
      <c r="A27" s="5" t="s">
        <v>100</v>
      </c>
      <c r="B27" s="15" t="str">
        <f t="shared" si="3"/>
        <v>11-JUL-2025</v>
      </c>
      <c r="C27" s="5" t="str">
        <f t="shared" si="0"/>
        <v>CA</v>
      </c>
      <c r="D27" s="5" t="s">
        <v>51</v>
      </c>
      <c r="E27" s="5" t="str">
        <f t="shared" si="1"/>
        <v>Blender</v>
      </c>
      <c r="F27" s="5" t="s">
        <v>101</v>
      </c>
      <c r="G27" s="5" t="str">
        <f t="shared" si="4"/>
        <v>Vitamix Blender</v>
      </c>
      <c r="H27" s="12">
        <f t="shared" si="2"/>
        <v>400</v>
      </c>
      <c r="I27" s="5">
        <v>400</v>
      </c>
      <c r="J27" s="5">
        <v>40</v>
      </c>
      <c r="K27" s="5" t="s">
        <v>36</v>
      </c>
      <c r="L27" s="18" t="s">
        <v>36</v>
      </c>
    </row>
    <row r="28" spans="1:12" x14ac:dyDescent="0.25">
      <c r="A28" s="5" t="s">
        <v>102</v>
      </c>
      <c r="B28" s="15" t="str">
        <f t="shared" si="3"/>
        <v>07-MAR-2025</v>
      </c>
      <c r="C28" s="5" t="str">
        <f t="shared" si="0"/>
        <v>CA</v>
      </c>
      <c r="D28" s="5" t="s">
        <v>103</v>
      </c>
      <c r="E28" s="5" t="str">
        <f t="shared" si="1"/>
        <v>Dress</v>
      </c>
      <c r="F28" s="5" t="s">
        <v>104</v>
      </c>
      <c r="G28" s="5" t="str">
        <f t="shared" si="4"/>
        <v>Zara Dress</v>
      </c>
      <c r="H28" s="12">
        <f t="shared" si="2"/>
        <v>60</v>
      </c>
      <c r="I28" s="5">
        <v>60</v>
      </c>
      <c r="J28" s="5">
        <v>30</v>
      </c>
      <c r="K28" s="5" t="s">
        <v>32</v>
      </c>
      <c r="L28" s="18" t="s">
        <v>32</v>
      </c>
    </row>
    <row r="29" spans="1:12" x14ac:dyDescent="0.25">
      <c r="A29" s="8" t="s">
        <v>105</v>
      </c>
      <c r="B29" s="15" t="str">
        <f t="shared" si="3"/>
        <v>13-APR-2025</v>
      </c>
      <c r="C29" s="5" t="str">
        <f t="shared" si="0"/>
        <v>CA</v>
      </c>
      <c r="D29" s="8" t="s">
        <v>106</v>
      </c>
      <c r="E29" s="5" t="str">
        <f t="shared" si="1"/>
        <v>Toaster</v>
      </c>
      <c r="F29" s="8" t="s">
        <v>107</v>
      </c>
      <c r="G29" s="5" t="str">
        <f t="shared" si="4"/>
        <v>Hamilton Toaster</v>
      </c>
      <c r="H29" s="12">
        <f t="shared" si="2"/>
        <v>40</v>
      </c>
      <c r="I29" s="8">
        <v>40</v>
      </c>
      <c r="J29" s="8">
        <v>10</v>
      </c>
      <c r="K29" s="8" t="s">
        <v>36</v>
      </c>
      <c r="L29" s="18" t="s">
        <v>36</v>
      </c>
    </row>
    <row r="30" spans="1:12" x14ac:dyDescent="0.25">
      <c r="A30" s="5" t="s">
        <v>108</v>
      </c>
      <c r="B30" s="15" t="str">
        <f t="shared" si="3"/>
        <v>24-MAY-2025</v>
      </c>
      <c r="C30" s="5" t="str">
        <f t="shared" si="0"/>
        <v>CA</v>
      </c>
      <c r="D30" s="5" t="s">
        <v>93</v>
      </c>
      <c r="E30" s="5" t="str">
        <f t="shared" si="1"/>
        <v>Fitness Tracker</v>
      </c>
      <c r="F30" s="5" t="s">
        <v>109</v>
      </c>
      <c r="G30" s="5" t="str">
        <f t="shared" si="4"/>
        <v>Garmin Fitness Tracker</v>
      </c>
      <c r="H30" s="12">
        <f t="shared" si="2"/>
        <v>130</v>
      </c>
      <c r="I30" s="5">
        <v>130</v>
      </c>
      <c r="J30" s="5">
        <v>5</v>
      </c>
      <c r="K30" s="5" t="s">
        <v>28</v>
      </c>
      <c r="L30" s="18" t="s">
        <v>28</v>
      </c>
    </row>
    <row r="31" spans="1:12" x14ac:dyDescent="0.25">
      <c r="A31" s="8" t="s">
        <v>110</v>
      </c>
      <c r="B31" s="15" t="str">
        <f t="shared" si="3"/>
        <v>02-DEC-2025</v>
      </c>
      <c r="C31" s="5" t="str">
        <f t="shared" si="0"/>
        <v>CA</v>
      </c>
      <c r="D31" s="8" t="s">
        <v>111</v>
      </c>
      <c r="E31" s="5" t="str">
        <f t="shared" si="1"/>
        <v>Jeans</v>
      </c>
      <c r="F31" s="8" t="s">
        <v>112</v>
      </c>
      <c r="G31" s="5" t="str">
        <f t="shared" si="4"/>
        <v>Levi's Jeans</v>
      </c>
      <c r="H31" s="12">
        <f t="shared" si="2"/>
        <v>50</v>
      </c>
      <c r="I31" s="8">
        <v>50</v>
      </c>
      <c r="J31" s="8">
        <v>50</v>
      </c>
      <c r="K31" s="8" t="s">
        <v>32</v>
      </c>
      <c r="L31" s="18" t="s">
        <v>32</v>
      </c>
    </row>
    <row r="32" spans="1:12" x14ac:dyDescent="0.25">
      <c r="A32" s="8" t="s">
        <v>113</v>
      </c>
      <c r="B32" s="15" t="str">
        <f t="shared" si="3"/>
        <v>09-JUL-2025</v>
      </c>
      <c r="C32" s="5" t="str">
        <f t="shared" si="0"/>
        <v>FR</v>
      </c>
      <c r="D32" s="8" t="s">
        <v>114</v>
      </c>
      <c r="E32" s="5" t="str">
        <f t="shared" si="1"/>
        <v>Watch</v>
      </c>
      <c r="F32" s="8" t="s">
        <v>115</v>
      </c>
      <c r="G32" s="5" t="str">
        <f t="shared" si="4"/>
        <v>Casio Watch</v>
      </c>
      <c r="H32" s="12">
        <f t="shared" si="2"/>
        <v>100</v>
      </c>
      <c r="I32" s="8">
        <v>100</v>
      </c>
      <c r="J32" s="8">
        <v>20</v>
      </c>
      <c r="K32" s="8" t="s">
        <v>75</v>
      </c>
      <c r="L32" s="18" t="s">
        <v>75</v>
      </c>
    </row>
  </sheetData>
  <conditionalFormatting sqref="H2:H3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{9AA43BFB-5BAD-4B16-BCCE-D2D3A21EF31F}</x14:id>
        </ext>
      </extLst>
    </cfRule>
  </conditionalFormatting>
  <conditionalFormatting sqref="K2:L2">
    <cfRule type="expression" dxfId="5" priority="2">
      <formula>$K$2="Elctronic"</formula>
    </cfRule>
  </conditionalFormatting>
  <conditionalFormatting sqref="K2:L32">
    <cfRule type="expression" dxfId="4" priority="1">
      <formula>$K$2="Elactronic"</formula>
    </cfRule>
    <cfRule type="expression" dxfId="3" priority="3">
      <formula>cell="Elactronic"</formula>
    </cfRule>
    <cfRule type="expression" dxfId="2" priority="4">
      <formula>$K$2:$K$32="Elactronic"</formula>
    </cfRule>
    <cfRule type="expression" dxfId="1" priority="5">
      <formula>$K$2</formula>
    </cfRule>
    <cfRule type="expression" dxfId="0" priority="6">
      <formula>Electronics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43BFB-5BAD-4B16-BCCE-D2D3A21EF3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Aboobacker Sidheeque</cp:lastModifiedBy>
  <dcterms:created xsi:type="dcterms:W3CDTF">2026-10-11T16:21:17Z</dcterms:created>
  <dcterms:modified xsi:type="dcterms:W3CDTF">2026-10-11T18:29:33Z</dcterms:modified>
</cp:coreProperties>
</file>